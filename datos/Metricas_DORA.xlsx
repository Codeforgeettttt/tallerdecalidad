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étricas DO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<sst xmlns="http://schemas.openxmlformats.org/spreadsheetml/2006/main" count="40" uniqueCount="21">
  <si>
    <t xml:space="preserve">id</t>
  </si>
  <si>
    <t xml:space="preserve">fecha_commit</t>
  </si>
  <si>
    <t xml:space="preserve">fecha_despliegue</t>
  </si>
  <si>
    <t xml:space="preserve">exitoso</t>
  </si>
  <si>
    <t xml:space="preserve">horas_recuperacion</t>
  </si>
  <si>
    <t xml:space="preserve">lead_time_horas</t>
  </si>
  <si>
    <t xml:space="preserve">Métrica DORA</t>
  </si>
  <si>
    <t xml:space="preserve">Resultado</t>
  </si>
  <si>
    <t xml:space="preserve">Unidad</t>
  </si>
  <si>
    <t xml:space="preserve">si</t>
  </si>
  <si>
    <t xml:space="preserve">Frecuencia de despliegue</t>
  </si>
  <si>
    <t xml:space="preserve">despliegues por semana</t>
  </si>
  <si>
    <t xml:space="preserve">Lead time de cambios (mediana)</t>
  </si>
  <si>
    <t xml:space="preserve">horas</t>
  </si>
  <si>
    <t xml:space="preserve">no</t>
  </si>
  <si>
    <t xml:space="preserve">Tasa de fallo de cambios</t>
  </si>
  <si>
    <t xml:space="preserve">%</t>
  </si>
  <si>
    <t xml:space="preserve">Tiempo medio de recuperación (MTTR)</t>
  </si>
  <si>
    <t xml:space="preserve">Supuesto</t>
  </si>
  <si>
    <t xml:space="preserve">Días del periodo analizado</t>
  </si>
  <si>
    <t xml:space="preserve">Dato del enunciado (28 días)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</si>
</sst>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"/>
    <numFmt numFmtId="166" formatCode="0.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8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38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  <c r="J1" s="2" t="s">
        <v>8</v>
      </c>
    </row>
    <row r="2" customFormat="false" ht="15" hidden="false" customHeight="false" outlineLevel="0" collapsed="false">
      <c r="A2" s="3" t="n">
        <v>1</v>
      </c>
      <c r="B2" s="4" t="n">
        <v>46265.9951388889</v>
      </c>
      <c r="C2" s="4" t="n">
        <v>46266.5784722222</v>
      </c>
      <c r="D2" s="3" t="s">
        <v>9</v>
      </c>
      <c r="E2" s="5" t="n">
        <v>0</v>
      </c>
      <c r="F2" s="6" t="n">
        <f aca="false">(C2-B2)*24</f>
        <v>14</v>
      </c>
      <c r="H2" s="5" t="s">
        <v>10</v>
      </c>
      <c r="I2" s="7" t="n">
        <f aca="false">COUNTA(A2:A21)/(I8/7)</f>
        <v>5</v>
      </c>
      <c r="J2" s="5" t="s">
        <v>11</v>
      </c>
    </row>
    <row r="3" customFormat="false" ht="15" hidden="false" customHeight="false" outlineLevel="0" collapsed="false">
      <c r="A3" s="3" t="n">
        <v>2</v>
      </c>
      <c r="B3" s="4" t="n">
        <v>46267.8638888889</v>
      </c>
      <c r="C3" s="4" t="n">
        <v>46268.1138888889</v>
      </c>
      <c r="D3" s="3" t="s">
        <v>9</v>
      </c>
      <c r="E3" s="5" t="n">
        <v>0</v>
      </c>
      <c r="F3" s="6" t="n">
        <f aca="false">(C3-B3)*24</f>
        <v>6</v>
      </c>
      <c r="H3" s="5" t="s">
        <v>12</v>
      </c>
      <c r="I3" s="7" t="n">
        <f aca="false">MEDIAN(F2:F21)</f>
        <v>20</v>
      </c>
      <c r="J3" s="5" t="s">
        <v>13</v>
      </c>
    </row>
    <row r="4" customFormat="false" ht="15" hidden="false" customHeight="false" outlineLevel="0" collapsed="false">
      <c r="A4" s="3" t="n">
        <v>3</v>
      </c>
      <c r="B4" s="4" t="n">
        <v>46269.0361111111</v>
      </c>
      <c r="C4" s="4" t="n">
        <v>46269.4527777778</v>
      </c>
      <c r="D4" s="3" t="s">
        <v>14</v>
      </c>
      <c r="E4" s="5" t="n">
        <v>5</v>
      </c>
      <c r="F4" s="6" t="n">
        <f aca="false">(C4-B4)*24</f>
        <v>10</v>
      </c>
      <c r="H4" s="5" t="s">
        <v>15</v>
      </c>
      <c r="I4" s="8" t="n">
        <f aca="false">COUNTIF(D2:D21,"no")/COUNTA(A2:A21)</f>
        <v>0.2</v>
      </c>
      <c r="J4" s="5" t="s">
        <v>16</v>
      </c>
    </row>
    <row r="5" customFormat="false" ht="15" hidden="false" customHeight="false" outlineLevel="0" collapsed="false">
      <c r="A5" s="3" t="n">
        <v>4</v>
      </c>
      <c r="B5" s="4" t="n">
        <v>46270.3743055556</v>
      </c>
      <c r="C5" s="4" t="n">
        <v>46271.2076388889</v>
      </c>
      <c r="D5" s="3" t="s">
        <v>9</v>
      </c>
      <c r="E5" s="5" t="n">
        <v>0</v>
      </c>
      <c r="F5" s="6" t="n">
        <f aca="false">(C5-B5)*24</f>
        <v>20</v>
      </c>
      <c r="H5" s="5" t="s">
        <v>17</v>
      </c>
      <c r="I5" s="7" t="n">
        <f aca="false">AVERAGEIF(D2:D21,"no",E2:E21)</f>
        <v>4.5</v>
      </c>
      <c r="J5" s="5" t="s">
        <v>13</v>
      </c>
    </row>
    <row r="6" customFormat="false" ht="15" hidden="false" customHeight="false" outlineLevel="0" collapsed="false">
      <c r="A6" s="3" t="n">
        <v>5</v>
      </c>
      <c r="B6" s="4" t="n">
        <v>46270.4347222222</v>
      </c>
      <c r="C6" s="4" t="n">
        <v>46272.4347222222</v>
      </c>
      <c r="D6" s="3" t="s">
        <v>9</v>
      </c>
      <c r="E6" s="5" t="n">
        <v>0</v>
      </c>
      <c r="F6" s="6" t="n">
        <f aca="false">(C6-B6)*24</f>
        <v>48</v>
      </c>
    </row>
    <row r="7" customFormat="false" ht="15" hidden="false" customHeight="false" outlineLevel="0" collapsed="false">
      <c r="A7" s="3" t="n">
        <v>6</v>
      </c>
      <c r="B7" s="4" t="n">
        <v>46273.2923611111</v>
      </c>
      <c r="C7" s="4" t="n">
        <v>46274.1256944445</v>
      </c>
      <c r="D7" s="3" t="s">
        <v>9</v>
      </c>
      <c r="E7" s="5" t="n">
        <v>0</v>
      </c>
      <c r="F7" s="6" t="n">
        <f aca="false">(C7-B7)*24</f>
        <v>20</v>
      </c>
      <c r="H7" s="9" t="s">
        <v>18</v>
      </c>
    </row>
    <row r="8" customFormat="false" ht="15" hidden="false" customHeight="false" outlineLevel="0" collapsed="false">
      <c r="A8" s="3" t="n">
        <v>7</v>
      </c>
      <c r="B8" s="4" t="n">
        <v>46273.4618055556</v>
      </c>
      <c r="C8" s="4" t="n">
        <v>46275.4618055556</v>
      </c>
      <c r="D8" s="3" t="s">
        <v>9</v>
      </c>
      <c r="E8" s="5" t="n">
        <v>0</v>
      </c>
      <c r="F8" s="6" t="n">
        <f aca="false">(C8-B8)*24</f>
        <v>48</v>
      </c>
      <c r="H8" s="10" t="s">
        <v>19</v>
      </c>
      <c r="I8" s="11" t="n">
        <v>28</v>
      </c>
      <c r="J8" s="12" t="s">
        <v>20</v>
      </c>
    </row>
    <row r="9" customFormat="false" ht="15" hidden="false" customHeight="false" outlineLevel="0" collapsed="false">
      <c r="A9" s="3" t="n">
        <v>8</v>
      </c>
      <c r="B9" s="4" t="n">
        <v>46276.5291666667</v>
      </c>
      <c r="C9" s="4" t="n">
        <v>46276.9458333333</v>
      </c>
      <c r="D9" s="3" t="s">
        <v>14</v>
      </c>
      <c r="E9" s="5" t="n">
        <v>3</v>
      </c>
      <c r="F9" s="6" t="n">
        <f aca="false">(C9-B9)*24</f>
        <v>10</v>
      </c>
    </row>
    <row r="10" customFormat="false" ht="15" hidden="false" customHeight="false" outlineLevel="0" collapsed="false">
      <c r="A10" s="3" t="n">
        <v>9</v>
      </c>
      <c r="B10" s="4" t="n">
        <v>46278.4819444444</v>
      </c>
      <c r="C10" s="4" t="n">
        <v>46278.7319444444</v>
      </c>
      <c r="D10" s="3" t="s">
        <v>9</v>
      </c>
      <c r="E10" s="5" t="n">
        <v>0</v>
      </c>
      <c r="F10" s="6" t="n">
        <f aca="false">(C10-B10)*24</f>
        <v>6</v>
      </c>
    </row>
    <row r="11" customFormat="false" ht="15" hidden="false" customHeight="false" outlineLevel="0" collapsed="false">
      <c r="A11" s="3" t="n">
        <v>10</v>
      </c>
      <c r="B11" s="4" t="n">
        <v>46278.2048611111</v>
      </c>
      <c r="C11" s="4" t="n">
        <v>46280.2048611111</v>
      </c>
      <c r="D11" s="3" t="s">
        <v>9</v>
      </c>
      <c r="E11" s="5" t="n">
        <v>0</v>
      </c>
      <c r="F11" s="6" t="n">
        <f aca="false">(C11-B11)*24</f>
        <v>48</v>
      </c>
    </row>
    <row r="12" customFormat="false" ht="15" hidden="false" customHeight="false" outlineLevel="0" collapsed="false">
      <c r="A12" s="3" t="n">
        <v>11</v>
      </c>
      <c r="B12" s="4" t="n">
        <v>46280.6076388889</v>
      </c>
      <c r="C12" s="4" t="n">
        <v>46281.4409722222</v>
      </c>
      <c r="D12" s="3" t="s">
        <v>9</v>
      </c>
      <c r="E12" s="5" t="n">
        <v>0</v>
      </c>
      <c r="F12" s="6" t="n">
        <f aca="false">(C12-B12)*24</f>
        <v>20</v>
      </c>
    </row>
    <row r="13" customFormat="false" ht="15" hidden="false" customHeight="false" outlineLevel="0" collapsed="false">
      <c r="A13" s="3" t="n">
        <v>12</v>
      </c>
      <c r="B13" s="4" t="n">
        <v>46282.35625</v>
      </c>
      <c r="C13" s="4" t="n">
        <v>46282.9395833333</v>
      </c>
      <c r="D13" s="3" t="s">
        <v>9</v>
      </c>
      <c r="E13" s="5" t="n">
        <v>0</v>
      </c>
      <c r="F13" s="6" t="n">
        <f aca="false">(C13-B13)*24</f>
        <v>14</v>
      </c>
    </row>
    <row r="14" customFormat="false" ht="15" hidden="false" customHeight="false" outlineLevel="0" collapsed="false">
      <c r="A14" s="3" t="n">
        <v>13</v>
      </c>
      <c r="B14" s="4" t="n">
        <v>46283.9777777778</v>
      </c>
      <c r="C14" s="4" t="n">
        <v>46284.5611111111</v>
      </c>
      <c r="D14" s="3" t="s">
        <v>14</v>
      </c>
      <c r="E14" s="5" t="n">
        <v>2</v>
      </c>
      <c r="F14" s="6" t="n">
        <f aca="false">(C14-B14)*24</f>
        <v>14</v>
      </c>
    </row>
    <row r="15" customFormat="false" ht="15" hidden="false" customHeight="false" outlineLevel="0" collapsed="false">
      <c r="A15" s="3" t="n">
        <v>14</v>
      </c>
      <c r="B15" s="4" t="n">
        <v>46285.61875</v>
      </c>
      <c r="C15" s="4" t="n">
        <v>46286.2020833333</v>
      </c>
      <c r="D15" s="3" t="s">
        <v>9</v>
      </c>
      <c r="E15" s="5" t="n">
        <v>0</v>
      </c>
      <c r="F15" s="6" t="n">
        <f aca="false">(C15-B15)*24</f>
        <v>14</v>
      </c>
    </row>
    <row r="16" customFormat="false" ht="15" hidden="false" customHeight="false" outlineLevel="0" collapsed="false">
      <c r="A16" s="3" t="n">
        <v>15</v>
      </c>
      <c r="B16" s="4" t="n">
        <v>46286.6347222222</v>
      </c>
      <c r="C16" s="4" t="n">
        <v>46287.4680555556</v>
      </c>
      <c r="D16" s="3" t="s">
        <v>9</v>
      </c>
      <c r="E16" s="5" t="n">
        <v>0</v>
      </c>
      <c r="F16" s="6" t="n">
        <f aca="false">(C16-B16)*24</f>
        <v>20</v>
      </c>
    </row>
    <row r="17" customFormat="false" ht="15" hidden="false" customHeight="false" outlineLevel="0" collapsed="false">
      <c r="A17" s="3" t="n">
        <v>16</v>
      </c>
      <c r="B17" s="4" t="n">
        <v>46288.6861111111</v>
      </c>
      <c r="C17" s="4" t="n">
        <v>46289.1027777778</v>
      </c>
      <c r="D17" s="3" t="s">
        <v>9</v>
      </c>
      <c r="E17" s="5" t="n">
        <v>0</v>
      </c>
      <c r="F17" s="6" t="n">
        <f aca="false">(C17-B17)*24</f>
        <v>10</v>
      </c>
    </row>
    <row r="18" customFormat="false" ht="15" hidden="false" customHeight="false" outlineLevel="0" collapsed="false">
      <c r="A18" s="3" t="n">
        <v>17</v>
      </c>
      <c r="B18" s="4" t="n">
        <v>46289.8652777778</v>
      </c>
      <c r="C18" s="4" t="n">
        <v>46290.6986111111</v>
      </c>
      <c r="D18" s="3" t="s">
        <v>14</v>
      </c>
      <c r="E18" s="5" t="n">
        <v>8</v>
      </c>
      <c r="F18" s="6" t="n">
        <f aca="false">(C18-B18)*24</f>
        <v>20</v>
      </c>
    </row>
    <row r="19" customFormat="false" ht="15" hidden="false" customHeight="false" outlineLevel="0" collapsed="false">
      <c r="A19" s="3" t="n">
        <v>18</v>
      </c>
      <c r="B19" s="4" t="n">
        <v>46290.25625</v>
      </c>
      <c r="C19" s="4" t="n">
        <v>46292.25625</v>
      </c>
      <c r="D19" s="3" t="s">
        <v>9</v>
      </c>
      <c r="E19" s="5" t="n">
        <v>0</v>
      </c>
      <c r="F19" s="6" t="n">
        <f aca="false">(C19-B19)*24</f>
        <v>48</v>
      </c>
    </row>
    <row r="20" customFormat="false" ht="15" hidden="false" customHeight="false" outlineLevel="0" collapsed="false">
      <c r="A20" s="3" t="n">
        <v>19</v>
      </c>
      <c r="B20" s="4" t="n">
        <v>46291.6381944444</v>
      </c>
      <c r="C20" s="4" t="n">
        <v>46293.8048611111</v>
      </c>
      <c r="D20" s="3" t="s">
        <v>9</v>
      </c>
      <c r="E20" s="5" t="n">
        <v>0</v>
      </c>
      <c r="F20" s="6" t="n">
        <f aca="false">(C20-B20)*24</f>
        <v>52</v>
      </c>
    </row>
    <row r="21" customFormat="false" ht="15" hidden="false" customHeight="false" outlineLevel="0" collapsed="false">
      <c r="A21" s="3" t="n">
        <v>20</v>
      </c>
      <c r="B21" s="4" t="n">
        <v>46293.0423611111</v>
      </c>
      <c r="C21" s="4" t="n">
        <v>46295.2090277778</v>
      </c>
      <c r="D21" s="3" t="s">
        <v>9</v>
      </c>
      <c r="E21" s="5" t="n">
        <v>0</v>
      </c>
      <c r="F21" s="6" t="n">
        <f aca="false">(C21-B21)*24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2026-09-28T15:53:53Z</dcterms:created>
  <dc:creator>openpyxl</dc:creator>
  <dc:description/>
  <dc:language>en-US</dc:language>
  <cp:lastModifiedBy/>
  <dcterms:modified xsi:type="dcterms:W3CDTF">2026-09-28T15:53:53Z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